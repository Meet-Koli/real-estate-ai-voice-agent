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ies" sheetId="1" r:id="rId5"/>
    <sheet state="visible" name="leads" sheetId="2" r:id="rId6"/>
    <sheet state="visible" name="bookings" sheetId="3" r:id="rId7"/>
  </sheets>
  <definedNames/>
  <calcPr/>
</workbook>
</file>

<file path=xl/sharedStrings.xml><?xml version="1.0" encoding="utf-8"?>
<sst xmlns="http://schemas.openxmlformats.org/spreadsheetml/2006/main" count="115" uniqueCount="72">
  <si>
    <t>Id</t>
  </si>
  <si>
    <t>title</t>
  </si>
  <si>
    <t>location</t>
  </si>
  <si>
    <t>price</t>
  </si>
  <si>
    <t>bedrooms</t>
  </si>
  <si>
    <t>property_type</t>
  </si>
  <si>
    <t>area</t>
  </si>
  <si>
    <t>intent</t>
  </si>
  <si>
    <t>2 BHK Apartment in Mumbai</t>
  </si>
  <si>
    <t>Mumbai</t>
  </si>
  <si>
    <t>apartment</t>
  </si>
  <si>
    <t>Andheri</t>
  </si>
  <si>
    <t>buy</t>
  </si>
  <si>
    <t>Borivali</t>
  </si>
  <si>
    <t>3 BHK Apartment in Mumbai</t>
  </si>
  <si>
    <t>Powai</t>
  </si>
  <si>
    <t>1 BHK Apartment in Mumbai</t>
  </si>
  <si>
    <t>Kandivali</t>
  </si>
  <si>
    <t>2 BHK Apartment in Pune</t>
  </si>
  <si>
    <t>Pune</t>
  </si>
  <si>
    <t>Hinjewadi</t>
  </si>
  <si>
    <t>3 BHK Apartment in Pune</t>
  </si>
  <si>
    <t>Wakad</t>
  </si>
  <si>
    <t>2 BHK Apartment for Rent in Mumbai</t>
  </si>
  <si>
    <t>Malad</t>
  </si>
  <si>
    <t>rent</t>
  </si>
  <si>
    <t>1 BHK Apartment for Rent in Mumbai</t>
  </si>
  <si>
    <t>Goregaon</t>
  </si>
  <si>
    <t>3 BHK Apartment for Rent in Mumbai</t>
  </si>
  <si>
    <t>Bandra</t>
  </si>
  <si>
    <t>2 BHK Apartment for Rent in Pune</t>
  </si>
  <si>
    <t>Baner</t>
  </si>
  <si>
    <t>2 BHK Villa in Bangalore</t>
  </si>
  <si>
    <t>Bangalore</t>
  </si>
  <si>
    <t>villa</t>
  </si>
  <si>
    <t>Whitefield</t>
  </si>
  <si>
    <t>3 BHK Villa in Bangalore</t>
  </si>
  <si>
    <t>Sarjapur</t>
  </si>
  <si>
    <t>1 BHK Apartment in Bangalore</t>
  </si>
  <si>
    <t>Electronic City</t>
  </si>
  <si>
    <t>2 BHK Apartment for Rent in Bangalore</t>
  </si>
  <si>
    <t>Marathahalli</t>
  </si>
  <si>
    <t>3 BHK Apartment for Rent in Bangalore</t>
  </si>
  <si>
    <t>Indiranagar</t>
  </si>
  <si>
    <t>Name</t>
  </si>
  <si>
    <t>Phone</t>
  </si>
  <si>
    <t>Intent</t>
  </si>
  <si>
    <t>Location Preference</t>
  </si>
  <si>
    <t>Budget</t>
  </si>
  <si>
    <t>Property Type</t>
  </si>
  <si>
    <t>Bedrooms</t>
  </si>
  <si>
    <t>Last Property Id</t>
  </si>
  <si>
    <t>Last Property Title</t>
  </si>
  <si>
    <t>Status</t>
  </si>
  <si>
    <t>Created At</t>
  </si>
  <si>
    <t>id</t>
  </si>
  <si>
    <t>lead_name</t>
  </si>
  <si>
    <t>lead_phone</t>
  </si>
  <si>
    <t>property_id</t>
  </si>
  <si>
    <t>property_title</t>
  </si>
  <si>
    <t>date_parsed</t>
  </si>
  <si>
    <t>time_parsed</t>
  </si>
  <si>
    <t>date_raw</t>
  </si>
  <si>
    <t>time_raw</t>
  </si>
  <si>
    <t>status</t>
  </si>
  <si>
    <t>created_at</t>
  </si>
  <si>
    <t/>
  </si>
  <si>
    <t>B1774433398423</t>
  </si>
  <si>
    <t>Smith Holy</t>
  </si>
  <si>
    <t>next Monday</t>
  </si>
  <si>
    <t>scheduled</t>
  </si>
  <si>
    <t>2026-03-25T15:39:58.422+05:30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</si>
</sst>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4" pivot="0" name="propert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in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" displayName="Table1" name="Table1" id="1">
  <tableColumns count="8">
    <tableColumn name="Id" id="1"/>
    <tableColumn name="title" id="2"/>
    <tableColumn name="location" id="3"/>
    <tableColumn name="price" id="4"/>
    <tableColumn name="bedrooms" id="5"/>
    <tableColumn name="property_type" id="6"/>
    <tableColumn name="area" id="7"/>
    <tableColumn name="intent" id="8"/>
  </tableColumns>
  <tableStyleInfo name="properties-style" showColumnStripes="0" showFirstColumn="1" showLastColumn="1" showRowStripes="1"/>
</table>
</file>

<file path=xl/tables/table2.xml><?xml version="1.0" encoding="utf-8"?>
<table xmlns="http://schemas.openxmlformats.org/spreadsheetml/2006/main" headerRowCount="0" ref="A1:L1" displayName="Table2" name="Table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lea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L1" displayName="Table3" name="Table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ooking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37.63"/>
    <col customWidth="1" min="3" max="3" width="15.5"/>
    <col customWidth="1" min="4" max="4" width="13.63"/>
    <col customWidth="1" min="5" max="5" width="15.5"/>
    <col customWidth="1" min="6" max="6" width="20.5"/>
    <col customWidth="1" min="7" max="7" width="16.25"/>
    <col customWidth="1" min="8" max="8" width="13.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.5" customHeight="1">
      <c r="A2" s="3" t="str">
        <f t="shared" ref="A2:A16" si="1">"P"&amp;TEXT(ROW()-1, "000")</f>
        <v>P001</v>
      </c>
      <c r="B2" s="3" t="s">
        <v>8</v>
      </c>
      <c r="C2" s="4" t="s">
        <v>9</v>
      </c>
      <c r="D2" s="5">
        <v>7000000.0</v>
      </c>
      <c r="E2" s="4">
        <v>2.0</v>
      </c>
      <c r="F2" s="6" t="s">
        <v>10</v>
      </c>
      <c r="G2" s="6" t="s">
        <v>11</v>
      </c>
      <c r="H2" s="6" t="s">
        <v>12</v>
      </c>
    </row>
    <row r="3" ht="22.5" customHeight="1">
      <c r="A3" s="3" t="str">
        <f t="shared" si="1"/>
        <v>P002</v>
      </c>
      <c r="B3" s="3" t="s">
        <v>8</v>
      </c>
      <c r="C3" s="4" t="s">
        <v>9</v>
      </c>
      <c r="D3" s="5">
        <v>8500000.0</v>
      </c>
      <c r="E3" s="4">
        <v>2.0</v>
      </c>
      <c r="F3" s="6" t="s">
        <v>10</v>
      </c>
      <c r="G3" s="6" t="s">
        <v>13</v>
      </c>
      <c r="H3" s="6" t="s">
        <v>12</v>
      </c>
    </row>
    <row r="4" ht="22.5" customHeight="1">
      <c r="A4" s="3" t="str">
        <f t="shared" si="1"/>
        <v>P003</v>
      </c>
      <c r="B4" s="3" t="s">
        <v>14</v>
      </c>
      <c r="C4" s="4" t="s">
        <v>9</v>
      </c>
      <c r="D4" s="5">
        <v>1.2E7</v>
      </c>
      <c r="E4" s="4">
        <v>3.0</v>
      </c>
      <c r="F4" s="6" t="s">
        <v>10</v>
      </c>
      <c r="G4" s="6" t="s">
        <v>15</v>
      </c>
      <c r="H4" s="6" t="s">
        <v>12</v>
      </c>
    </row>
    <row r="5" ht="22.5" customHeight="1">
      <c r="A5" s="3" t="str">
        <f t="shared" si="1"/>
        <v>P004</v>
      </c>
      <c r="B5" s="3" t="s">
        <v>16</v>
      </c>
      <c r="C5" s="4" t="s">
        <v>9</v>
      </c>
      <c r="D5" s="5">
        <v>4500000.0</v>
      </c>
      <c r="E5" s="4">
        <v>1.0</v>
      </c>
      <c r="F5" s="6" t="s">
        <v>10</v>
      </c>
      <c r="G5" s="6" t="s">
        <v>17</v>
      </c>
      <c r="H5" s="6" t="s">
        <v>12</v>
      </c>
    </row>
    <row r="6" ht="22.5" customHeight="1">
      <c r="A6" s="3" t="str">
        <f t="shared" si="1"/>
        <v>P005</v>
      </c>
      <c r="B6" s="3" t="s">
        <v>18</v>
      </c>
      <c r="C6" s="4" t="s">
        <v>19</v>
      </c>
      <c r="D6" s="5">
        <v>6500000.0</v>
      </c>
      <c r="E6" s="4">
        <v>2.0</v>
      </c>
      <c r="F6" s="6" t="s">
        <v>10</v>
      </c>
      <c r="G6" s="6" t="s">
        <v>20</v>
      </c>
      <c r="H6" s="6" t="s">
        <v>12</v>
      </c>
    </row>
    <row r="7" ht="22.5" customHeight="1">
      <c r="A7" s="3" t="str">
        <f t="shared" si="1"/>
        <v>P006</v>
      </c>
      <c r="B7" s="3" t="s">
        <v>21</v>
      </c>
      <c r="C7" s="4" t="s">
        <v>19</v>
      </c>
      <c r="D7" s="5">
        <v>9000000.0</v>
      </c>
      <c r="E7" s="4">
        <v>3.0</v>
      </c>
      <c r="F7" s="6" t="s">
        <v>10</v>
      </c>
      <c r="G7" s="6" t="s">
        <v>22</v>
      </c>
      <c r="H7" s="6" t="s">
        <v>12</v>
      </c>
    </row>
    <row r="8" ht="22.5" customHeight="1">
      <c r="A8" s="3" t="str">
        <f t="shared" si="1"/>
        <v>P007</v>
      </c>
      <c r="B8" s="3" t="s">
        <v>23</v>
      </c>
      <c r="C8" s="4" t="s">
        <v>9</v>
      </c>
      <c r="D8" s="5">
        <v>35000.0</v>
      </c>
      <c r="E8" s="4">
        <v>2.0</v>
      </c>
      <c r="F8" s="6" t="s">
        <v>10</v>
      </c>
      <c r="G8" s="6" t="s">
        <v>24</v>
      </c>
      <c r="H8" s="6" t="s">
        <v>25</v>
      </c>
    </row>
    <row r="9" ht="22.5" customHeight="1">
      <c r="A9" s="3" t="str">
        <f t="shared" si="1"/>
        <v>P008</v>
      </c>
      <c r="B9" s="3" t="s">
        <v>26</v>
      </c>
      <c r="C9" s="4" t="s">
        <v>9</v>
      </c>
      <c r="D9" s="5">
        <v>22000.0</v>
      </c>
      <c r="E9" s="4">
        <v>1.0</v>
      </c>
      <c r="F9" s="6" t="s">
        <v>10</v>
      </c>
      <c r="G9" s="6" t="s">
        <v>27</v>
      </c>
      <c r="H9" s="6" t="s">
        <v>25</v>
      </c>
    </row>
    <row r="10" ht="22.5" customHeight="1">
      <c r="A10" s="3" t="str">
        <f t="shared" si="1"/>
        <v>P009</v>
      </c>
      <c r="B10" s="3" t="s">
        <v>28</v>
      </c>
      <c r="C10" s="4" t="s">
        <v>9</v>
      </c>
      <c r="D10" s="5">
        <v>60000.0</v>
      </c>
      <c r="E10" s="4">
        <v>3.0</v>
      </c>
      <c r="F10" s="6" t="s">
        <v>10</v>
      </c>
      <c r="G10" s="6" t="s">
        <v>29</v>
      </c>
      <c r="H10" s="6" t="s">
        <v>25</v>
      </c>
    </row>
    <row r="11" ht="22.5" customHeight="1">
      <c r="A11" s="3" t="str">
        <f t="shared" si="1"/>
        <v>P010</v>
      </c>
      <c r="B11" s="3" t="s">
        <v>30</v>
      </c>
      <c r="C11" s="4" t="s">
        <v>19</v>
      </c>
      <c r="D11" s="5">
        <v>25000.0</v>
      </c>
      <c r="E11" s="4">
        <v>2.0</v>
      </c>
      <c r="F11" s="6" t="s">
        <v>10</v>
      </c>
      <c r="G11" s="6" t="s">
        <v>31</v>
      </c>
      <c r="H11" s="6" t="s">
        <v>25</v>
      </c>
    </row>
    <row r="12" ht="22.5" customHeight="1">
      <c r="A12" s="3" t="str">
        <f t="shared" si="1"/>
        <v>P011</v>
      </c>
      <c r="B12" s="3" t="s">
        <v>32</v>
      </c>
      <c r="C12" s="4" t="s">
        <v>33</v>
      </c>
      <c r="D12" s="5">
        <v>9500000.0</v>
      </c>
      <c r="E12" s="4">
        <v>2.0</v>
      </c>
      <c r="F12" s="6" t="s">
        <v>34</v>
      </c>
      <c r="G12" s="6" t="s">
        <v>35</v>
      </c>
      <c r="H12" s="6" t="s">
        <v>12</v>
      </c>
    </row>
    <row r="13" ht="22.5" customHeight="1">
      <c r="A13" s="3" t="str">
        <f t="shared" si="1"/>
        <v>P012</v>
      </c>
      <c r="B13" s="3" t="s">
        <v>36</v>
      </c>
      <c r="C13" s="4" t="s">
        <v>33</v>
      </c>
      <c r="D13" s="5">
        <v>1.5E7</v>
      </c>
      <c r="E13" s="4">
        <v>3.0</v>
      </c>
      <c r="F13" s="6" t="s">
        <v>34</v>
      </c>
      <c r="G13" s="6" t="s">
        <v>37</v>
      </c>
      <c r="H13" s="6" t="s">
        <v>12</v>
      </c>
    </row>
    <row r="14" ht="22.5" customHeight="1">
      <c r="A14" s="3" t="str">
        <f t="shared" si="1"/>
        <v>P013</v>
      </c>
      <c r="B14" s="3" t="s">
        <v>38</v>
      </c>
      <c r="C14" s="4" t="s">
        <v>33</v>
      </c>
      <c r="D14" s="5">
        <v>4000000.0</v>
      </c>
      <c r="E14" s="4">
        <v>1.0</v>
      </c>
      <c r="F14" s="6" t="s">
        <v>10</v>
      </c>
      <c r="G14" s="6" t="s">
        <v>39</v>
      </c>
      <c r="H14" s="6" t="s">
        <v>12</v>
      </c>
    </row>
    <row r="15" ht="22.5" customHeight="1">
      <c r="A15" s="3" t="str">
        <f t="shared" si="1"/>
        <v>P014</v>
      </c>
      <c r="B15" s="3" t="s">
        <v>40</v>
      </c>
      <c r="C15" s="4" t="s">
        <v>33</v>
      </c>
      <c r="D15" s="5">
        <v>28000.0</v>
      </c>
      <c r="E15" s="4">
        <v>2.0</v>
      </c>
      <c r="F15" s="6" t="s">
        <v>10</v>
      </c>
      <c r="G15" s="6" t="s">
        <v>41</v>
      </c>
      <c r="H15" s="6" t="s">
        <v>25</v>
      </c>
    </row>
    <row r="16" ht="22.5" customHeight="1">
      <c r="A16" s="3" t="str">
        <f t="shared" si="1"/>
        <v>P015</v>
      </c>
      <c r="B16" s="3" t="s">
        <v>42</v>
      </c>
      <c r="C16" s="4" t="s">
        <v>33</v>
      </c>
      <c r="D16" s="5">
        <v>55000.0</v>
      </c>
      <c r="E16" s="4">
        <v>3.0</v>
      </c>
      <c r="F16" s="6" t="s">
        <v>10</v>
      </c>
      <c r="G16" s="6" t="s">
        <v>43</v>
      </c>
      <c r="H16" s="6" t="s">
        <v>25</v>
      </c>
    </row>
  </sheetData>
  <dataValidations>
    <dataValidation type="custom" allowBlank="1" showDropDown="1" sqref="D2:D16">
      <formula1>AND(ISNUMBER(D2),(NOT(OR(NOT(ISERROR(DATEVALUE(D2))), AND(ISNUMBER(D2), LEFT(CELL("format", D2))="D")))))</formula1>
    </dataValidation>
    <dataValidation type="list" allowBlank="1" sqref="C2:C16">
      <formula1>"Mumbai,Mumbai,Mumbai,Mumbai,Pune,Pune,Mumbai,Mumbai,Mumbai,Pune,Bangalore,Bangalore,Bangalore,Bangalore,Bangalore"</formula1>
    </dataValidation>
    <dataValidation type="list" allowBlank="1" sqref="E2:E16">
      <formula1>"2,2,3,1,2,3,2,1,3,2,2,3,1,2,3"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12" width="12.5"/>
  </cols>
  <sheetData>
    <row r="1" ht="22.5" customHeight="1">
      <c r="A1" s="7" t="s">
        <v>0</v>
      </c>
      <c r="B1" s="1" t="s">
        <v>44</v>
      </c>
      <c r="C1" s="7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8"/>
      <c r="N1" s="8"/>
      <c r="O1" s="8"/>
      <c r="P1" s="8"/>
      <c r="Q1" s="8"/>
      <c r="T1" s="8"/>
      <c r="U1" s="8"/>
      <c r="V1" s="8"/>
      <c r="W1" s="8"/>
      <c r="X1" s="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6.63"/>
    <col customWidth="1" min="3" max="3" width="16.0"/>
    <col customWidth="1" min="4" max="4" width="12.5"/>
    <col customWidth="1" min="5" max="5" width="20.88"/>
    <col customWidth="1" min="6" max="7" width="12.5"/>
    <col customWidth="1" min="8" max="8" width="15.75"/>
    <col customWidth="1" min="9" max="11" width="12.5"/>
    <col customWidth="1" min="12" max="12" width="25.13"/>
  </cols>
  <sheetData>
    <row r="1" ht="22.5" customHeight="1">
      <c r="A1" s="7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2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8" t="s">
        <v>66</v>
      </c>
    </row>
    <row r="2">
      <c r="A2" s="8" t="s">
        <v>67</v>
      </c>
      <c r="B2" s="8" t="s">
        <v>68</v>
      </c>
      <c r="C2" s="8">
        <v>8.980028485E9</v>
      </c>
      <c r="E2" s="8" t="s">
        <v>8</v>
      </c>
      <c r="F2" s="8" t="s">
        <v>9</v>
      </c>
      <c r="G2" s="9">
        <v>46118.0</v>
      </c>
      <c r="H2" s="10">
        <v>0.4583333333333333</v>
      </c>
      <c r="I2" s="8" t="s">
        <v>69</v>
      </c>
      <c r="J2" s="10">
        <v>0.4583333333333333</v>
      </c>
      <c r="K2" s="8" t="s">
        <v>70</v>
      </c>
      <c r="L2" s="8" t="s">
        <v>71</v>
      </c>
    </row>
  </sheetData>
  <drawing r:id="rId1"/>
  <tableParts count="1">
    <tablePart r:id="rId3"/>
  </tableParts>
</worksheet>
</file>